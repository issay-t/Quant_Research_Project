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issaytieu/Desktop/Quant Project/"/>
    </mc:Choice>
  </mc:AlternateContent>
  <xr:revisionPtr revIDLastSave="0" documentId="13_ncr:1_{47E74512-0E99-054E-9FFB-24DC9698964D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3" i="1"/>
  <c r="E5" i="1"/>
  <c r="E6" i="1"/>
  <c r="E7" i="1"/>
  <c r="E8" i="1"/>
  <c r="E9" i="1"/>
  <c r="E10" i="1"/>
  <c r="E11" i="1"/>
  <c r="E12" i="1"/>
  <c r="E13" i="1"/>
  <c r="E14" i="1"/>
  <c r="E15" i="1"/>
  <c r="E16" i="1"/>
  <c r="E2" i="1"/>
</calcChain>
</file>

<file path=xl/sharedStrings.xml><?xml version="1.0" encoding="utf-8"?>
<sst xmlns="http://schemas.openxmlformats.org/spreadsheetml/2006/main" count="41" uniqueCount="27">
  <si>
    <t>ticker</t>
  </si>
  <si>
    <t>purchase_date</t>
  </si>
  <si>
    <t>current_price</t>
  </si>
  <si>
    <t>strike_price</t>
  </si>
  <si>
    <t>sim_premium</t>
  </si>
  <si>
    <t>real_premium</t>
  </si>
  <si>
    <t>realized_iv</t>
  </si>
  <si>
    <t>sim_iv</t>
  </si>
  <si>
    <t>real_iv</t>
  </si>
  <si>
    <t>variance</t>
  </si>
  <si>
    <t>AAPL</t>
  </si>
  <si>
    <t>2025-11-04</t>
  </si>
  <si>
    <t>ABBV</t>
  </si>
  <si>
    <t>AMD</t>
  </si>
  <si>
    <t>AMZN</t>
  </si>
  <si>
    <t>BA</t>
  </si>
  <si>
    <t>BABA</t>
  </si>
  <si>
    <t>COIN</t>
  </si>
  <si>
    <t>FDX</t>
  </si>
  <si>
    <t>GE</t>
  </si>
  <si>
    <t>GOOGL</t>
  </si>
  <si>
    <t>NVDA</t>
  </si>
  <si>
    <t>PLTR</t>
  </si>
  <si>
    <t>TSLA</t>
  </si>
  <si>
    <t>TSM</t>
  </si>
  <si>
    <t>UNH</t>
  </si>
  <si>
    <t>intrinsic_val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</si>
</sst>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zoomScale="158" workbookViewId="0">
      <selection activeCell="G12" sqref="G12"/>
    </sheetView>
  </sheetViews>
  <sheetFormatPr baseColWidth="10" defaultColWidth="8.83203125" defaultRowHeight="15" x14ac:dyDescent="0.2"/>
  <cols>
    <col min="1" max="1" width="6.6640625" bestFit="1" customWidth="1"/>
    <col min="2" max="2" width="12.5" bestFit="1" customWidth="1"/>
    <col min="3" max="3" width="11.83203125" bestFit="1" customWidth="1"/>
    <col min="4" max="4" width="10.33203125" bestFit="1" customWidth="1"/>
    <col min="5" max="5" width="10.33203125" customWidth="1"/>
    <col min="6" max="8" width="12.16406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26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">
      <c r="A2" t="s">
        <v>10</v>
      </c>
      <c r="B2" t="s">
        <v>11</v>
      </c>
      <c r="C2">
        <v>270.19</v>
      </c>
      <c r="D2">
        <v>250</v>
      </c>
      <c r="E2">
        <f>C2-D2</f>
        <v>20.189999999999998</v>
      </c>
      <c r="F2">
        <v>21.12235536143146</v>
      </c>
      <c r="G2">
        <v>19.690000000000001</v>
      </c>
      <c r="H2">
        <v>0.26848615791924801</v>
      </c>
      <c r="I2">
        <v>0.30777954465353108</v>
      </c>
      <c r="J2">
        <v>1.0000000000000001E-5</v>
      </c>
      <c r="K2">
        <v>7.274532053994201E-2</v>
      </c>
    </row>
    <row r="3" spans="1:11" x14ac:dyDescent="0.2">
      <c r="A3" t="s">
        <v>12</v>
      </c>
      <c r="B3" t="s">
        <v>11</v>
      </c>
      <c r="C3">
        <v>215.88</v>
      </c>
      <c r="D3">
        <v>250</v>
      </c>
      <c r="E3">
        <f t="shared" ref="E3:E16" si="0">C3-D3</f>
        <v>-34.120000000000005</v>
      </c>
      <c r="F3">
        <v>0.17482335094117121</v>
      </c>
      <c r="G3">
        <v>0.01</v>
      </c>
      <c r="H3">
        <v>0.2130622246633006</v>
      </c>
      <c r="I3">
        <v>0.24078243474387701</v>
      </c>
      <c r="J3">
        <v>0.50000500000000003</v>
      </c>
      <c r="K3">
        <v>16.482335094117119</v>
      </c>
    </row>
    <row r="4" spans="1:11" x14ac:dyDescent="0.2">
      <c r="A4" t="s">
        <v>13</v>
      </c>
      <c r="B4" t="s">
        <v>11</v>
      </c>
      <c r="C4">
        <v>251.26300000000001</v>
      </c>
      <c r="D4">
        <v>250</v>
      </c>
      <c r="E4">
        <f>C4-D4</f>
        <v>1.2630000000000052</v>
      </c>
      <c r="F4">
        <v>21.001906942961181</v>
      </c>
      <c r="G4">
        <v>10.4</v>
      </c>
      <c r="H4">
        <v>0.71804238597330838</v>
      </c>
      <c r="I4">
        <v>0.89265187925403111</v>
      </c>
      <c r="J4">
        <v>0.92627026855468753</v>
      </c>
      <c r="K4">
        <v>1.0194141291308829</v>
      </c>
    </row>
    <row r="5" spans="1:11" x14ac:dyDescent="0.2">
      <c r="A5" t="s">
        <v>14</v>
      </c>
      <c r="B5" t="s">
        <v>11</v>
      </c>
      <c r="C5">
        <v>248.79</v>
      </c>
      <c r="D5">
        <v>250</v>
      </c>
      <c r="E5">
        <f t="shared" si="0"/>
        <v>-1.210000000000008</v>
      </c>
      <c r="F5">
        <v>0.47735984243002072</v>
      </c>
      <c r="G5">
        <v>2.86</v>
      </c>
      <c r="H5">
        <v>0.31422092591308959</v>
      </c>
      <c r="I5">
        <v>0.36185942288663703</v>
      </c>
      <c r="J5">
        <v>0.33618827880859381</v>
      </c>
      <c r="K5">
        <v>0.83309096418530748</v>
      </c>
    </row>
    <row r="6" spans="1:11" x14ac:dyDescent="0.2">
      <c r="A6" t="s">
        <v>15</v>
      </c>
      <c r="B6" t="s">
        <v>11</v>
      </c>
      <c r="C6">
        <v>198.34</v>
      </c>
      <c r="D6">
        <v>250</v>
      </c>
      <c r="E6">
        <f t="shared" si="0"/>
        <v>-51.66</v>
      </c>
      <c r="F6">
        <v>0.05</v>
      </c>
      <c r="G6">
        <v>0.01</v>
      </c>
      <c r="H6">
        <v>0.24329304036662849</v>
      </c>
      <c r="I6">
        <v>0.27529577084997381</v>
      </c>
      <c r="J6">
        <v>0.7187528125</v>
      </c>
      <c r="K6">
        <v>4</v>
      </c>
    </row>
    <row r="7" spans="1:11" x14ac:dyDescent="0.2">
      <c r="A7" t="s">
        <v>16</v>
      </c>
      <c r="B7" t="s">
        <v>11</v>
      </c>
      <c r="C7">
        <v>164.16</v>
      </c>
      <c r="D7">
        <v>250</v>
      </c>
      <c r="E7">
        <f t="shared" si="0"/>
        <v>-85.84</v>
      </c>
      <c r="F7">
        <v>0.05</v>
      </c>
      <c r="G7">
        <v>0.01</v>
      </c>
      <c r="H7">
        <v>0.54264453877359065</v>
      </c>
      <c r="I7">
        <v>0.64230242128198223</v>
      </c>
      <c r="J7">
        <v>1.2500037500000001</v>
      </c>
      <c r="K7">
        <v>4</v>
      </c>
    </row>
    <row r="8" spans="1:11" x14ac:dyDescent="0.2">
      <c r="A8" t="s">
        <v>17</v>
      </c>
      <c r="B8" t="s">
        <v>11</v>
      </c>
      <c r="C8">
        <v>308.89499999999998</v>
      </c>
      <c r="D8">
        <v>250</v>
      </c>
      <c r="E8">
        <f t="shared" si="0"/>
        <v>58.894999999999982</v>
      </c>
      <c r="F8">
        <v>107.6025870711385</v>
      </c>
      <c r="G8">
        <v>60.23</v>
      </c>
      <c r="H8">
        <v>0.59390229286256058</v>
      </c>
      <c r="I8">
        <v>0.71574354174154731</v>
      </c>
      <c r="J8">
        <v>0.65625343750000009</v>
      </c>
      <c r="K8">
        <v>0.78652809349391539</v>
      </c>
    </row>
    <row r="9" spans="1:11" x14ac:dyDescent="0.2">
      <c r="A9" t="s">
        <v>18</v>
      </c>
      <c r="B9" t="s">
        <v>11</v>
      </c>
      <c r="C9">
        <v>253.05500000000001</v>
      </c>
      <c r="D9">
        <v>250</v>
      </c>
      <c r="E9">
        <f t="shared" si="0"/>
        <v>3.0550000000000068</v>
      </c>
      <c r="F9">
        <v>1.9352063965957309</v>
      </c>
      <c r="G9">
        <v>5.3</v>
      </c>
      <c r="H9">
        <v>0.27385187057023269</v>
      </c>
      <c r="I9">
        <v>0.31468514278913029</v>
      </c>
      <c r="J9">
        <v>0.34961587890625001</v>
      </c>
      <c r="K9">
        <v>0.63486671762344693</v>
      </c>
    </row>
    <row r="10" spans="1:11" x14ac:dyDescent="0.2">
      <c r="A10" t="s">
        <v>19</v>
      </c>
      <c r="B10" t="s">
        <v>11</v>
      </c>
      <c r="C10">
        <v>304.08499999999998</v>
      </c>
      <c r="D10">
        <v>250</v>
      </c>
      <c r="E10">
        <f t="shared" si="0"/>
        <v>54.08499999999998</v>
      </c>
      <c r="F10">
        <v>55.643563443221687</v>
      </c>
      <c r="G10">
        <v>56.11</v>
      </c>
      <c r="H10">
        <v>0.22272800289447389</v>
      </c>
      <c r="I10">
        <v>0.25003486948746012</v>
      </c>
      <c r="J10">
        <v>1.161625285644531</v>
      </c>
      <c r="K10">
        <v>8.3128953266495293E-3</v>
      </c>
    </row>
    <row r="11" spans="1:11" x14ac:dyDescent="0.2">
      <c r="A11" t="s">
        <v>20</v>
      </c>
      <c r="B11" t="s">
        <v>11</v>
      </c>
      <c r="C11">
        <v>276.42</v>
      </c>
      <c r="D11">
        <v>250</v>
      </c>
      <c r="E11">
        <f t="shared" si="0"/>
        <v>26.420000000000016</v>
      </c>
      <c r="F11">
        <v>9.5945462103888985</v>
      </c>
      <c r="G11">
        <v>27.94</v>
      </c>
      <c r="H11">
        <v>0.2692039939154186</v>
      </c>
      <c r="I11">
        <v>0.310118237177616</v>
      </c>
      <c r="J11">
        <v>0.75927975097656264</v>
      </c>
      <c r="K11">
        <v>0.65660178201900865</v>
      </c>
    </row>
    <row r="12" spans="1:11" x14ac:dyDescent="0.2">
      <c r="A12" t="s">
        <v>21</v>
      </c>
      <c r="B12" t="s">
        <v>11</v>
      </c>
      <c r="C12">
        <v>199.185</v>
      </c>
      <c r="D12">
        <v>250</v>
      </c>
      <c r="E12">
        <f t="shared" si="0"/>
        <v>-50.814999999999998</v>
      </c>
      <c r="F12">
        <v>0.05</v>
      </c>
      <c r="G12">
        <v>0.01</v>
      </c>
      <c r="H12">
        <v>0.26136029340297062</v>
      </c>
      <c r="I12">
        <v>0.29061642228560769</v>
      </c>
      <c r="J12">
        <v>0.7187528125</v>
      </c>
      <c r="K12">
        <v>4</v>
      </c>
    </row>
    <row r="13" spans="1:11" x14ac:dyDescent="0.2">
      <c r="A13" t="s">
        <v>22</v>
      </c>
      <c r="B13" t="s">
        <v>11</v>
      </c>
      <c r="C13">
        <v>188.57499999999999</v>
      </c>
      <c r="D13">
        <v>250</v>
      </c>
      <c r="E13">
        <f t="shared" si="0"/>
        <v>-61.425000000000011</v>
      </c>
      <c r="F13">
        <v>0.05</v>
      </c>
      <c r="G13">
        <v>0.01</v>
      </c>
      <c r="H13">
        <v>0.52036717017722989</v>
      </c>
      <c r="I13">
        <v>0.61077106209977106</v>
      </c>
      <c r="J13">
        <v>0.87500124999999995</v>
      </c>
      <c r="K13">
        <v>4</v>
      </c>
    </row>
    <row r="14" spans="1:11" x14ac:dyDescent="0.2">
      <c r="A14" t="s">
        <v>23</v>
      </c>
      <c r="B14" t="s">
        <v>11</v>
      </c>
      <c r="C14">
        <v>447.1</v>
      </c>
      <c r="D14">
        <v>250</v>
      </c>
      <c r="E14">
        <f t="shared" si="0"/>
        <v>197.10000000000002</v>
      </c>
      <c r="F14">
        <v>76.889019173045199</v>
      </c>
      <c r="G14">
        <v>204.92</v>
      </c>
      <c r="H14">
        <v>0.60598694014334409</v>
      </c>
      <c r="I14">
        <v>0.7337612636664228</v>
      </c>
      <c r="J14">
        <v>2.6953157617187502</v>
      </c>
      <c r="K14">
        <v>0.62478518849772979</v>
      </c>
    </row>
    <row r="15" spans="1:11" x14ac:dyDescent="0.2">
      <c r="A15" t="s">
        <v>24</v>
      </c>
      <c r="B15" t="s">
        <v>11</v>
      </c>
      <c r="C15">
        <v>294.95</v>
      </c>
      <c r="D15">
        <v>250</v>
      </c>
      <c r="E15">
        <f t="shared" si="0"/>
        <v>44.949999999999989</v>
      </c>
      <c r="F15">
        <v>5.2778653903065731</v>
      </c>
      <c r="G15">
        <v>53.24</v>
      </c>
      <c r="H15">
        <v>0.30218234381681242</v>
      </c>
      <c r="I15">
        <v>0.35009299341610978</v>
      </c>
      <c r="J15">
        <v>1.2641638354492191</v>
      </c>
      <c r="K15">
        <v>0.90086654037741221</v>
      </c>
    </row>
    <row r="16" spans="1:11" x14ac:dyDescent="0.2">
      <c r="A16" t="s">
        <v>25</v>
      </c>
      <c r="B16" t="s">
        <v>11</v>
      </c>
      <c r="C16">
        <v>329.61</v>
      </c>
      <c r="D16">
        <v>250</v>
      </c>
      <c r="E16">
        <f t="shared" si="0"/>
        <v>79.610000000000014</v>
      </c>
      <c r="F16">
        <v>37.490753505382628</v>
      </c>
      <c r="G16">
        <v>88</v>
      </c>
      <c r="H16">
        <v>0.55328118245582059</v>
      </c>
      <c r="I16">
        <v>0.66665607798312421</v>
      </c>
      <c r="J16">
        <v>1.7128920605468749</v>
      </c>
      <c r="K16">
        <v>0.57396871016610651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Issay Tieu</cp:lastModifiedBy>
  <dcterms:created xsi:type="dcterms:W3CDTF">2025-11-04T20:52:38Z</dcterms:created>
  <dcterms:modified xsi:type="dcterms:W3CDTF">2025-11-04T22:01:47Z</dcterms:modified>
</cp:coreProperties>
</file>